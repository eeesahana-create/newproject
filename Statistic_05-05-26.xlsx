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fd9b3c056133b/Desktop/"/>
    </mc:Choice>
  </mc:AlternateContent>
  <xr:revisionPtr revIDLastSave="114" documentId="8_{1F15CC34-6DAF-420B-A769-494DAED42B66}" xr6:coauthVersionLast="47" xr6:coauthVersionMax="47" xr10:uidLastSave="{210E0A79-C93D-4FC2-A95B-1EA470AEE059}"/>
  <bookViews>
    <workbookView xWindow="-108" yWindow="-108" windowWidth="23256" windowHeight="12456" activeTab="2" xr2:uid="{CFFF9AA5-F34F-4326-A0C4-17D1BF7B30DA}"/>
  </bookViews>
  <sheets>
    <sheet name="Sheet3" sheetId="3" r:id="rId1"/>
    <sheet name="Sheet1" sheetId="1" r:id="rId2"/>
    <sheet name="Sheet2" sheetId="2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2" l="1"/>
  <c r="E36" i="2"/>
  <c r="E33" i="2"/>
  <c r="E32" i="2"/>
  <c r="H38" i="2"/>
  <c r="F37" i="2"/>
  <c r="D37" i="2"/>
  <c r="C37" i="2"/>
  <c r="B37" i="2"/>
  <c r="D36" i="2"/>
  <c r="C36" i="2"/>
  <c r="B36" i="2"/>
  <c r="D33" i="2"/>
  <c r="C33" i="2"/>
  <c r="B33" i="2"/>
  <c r="D32" i="2"/>
  <c r="C32" i="2"/>
  <c r="B32" i="2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<sst xmlns="http://schemas.openxmlformats.org/spreadsheetml/2006/main" count="129" uniqueCount="55">
  <si>
    <t>S_name</t>
  </si>
  <si>
    <t>Course</t>
  </si>
  <si>
    <t>marks</t>
  </si>
  <si>
    <t>Smith</t>
  </si>
  <si>
    <t>joe</t>
  </si>
  <si>
    <t>jes</t>
  </si>
  <si>
    <t>henry</t>
  </si>
  <si>
    <t>steve</t>
  </si>
  <si>
    <t>mary</t>
  </si>
  <si>
    <t>pue</t>
  </si>
  <si>
    <t>lil</t>
  </si>
  <si>
    <t>python</t>
  </si>
  <si>
    <t>mean</t>
  </si>
  <si>
    <t>median</t>
  </si>
  <si>
    <t>mode</t>
  </si>
  <si>
    <t>variance</t>
  </si>
  <si>
    <t>std dev</t>
  </si>
  <si>
    <t>max</t>
  </si>
  <si>
    <t>min</t>
  </si>
  <si>
    <t xml:space="preserve">sum </t>
  </si>
  <si>
    <t>count</t>
  </si>
  <si>
    <t>countA#S_name</t>
  </si>
  <si>
    <t>Gender</t>
  </si>
  <si>
    <t>Location</t>
  </si>
  <si>
    <t>M</t>
  </si>
  <si>
    <t>India</t>
  </si>
  <si>
    <t>F</t>
  </si>
  <si>
    <t>UK</t>
  </si>
  <si>
    <t>US</t>
  </si>
  <si>
    <t>india</t>
  </si>
  <si>
    <t>uk</t>
  </si>
  <si>
    <t>Row Labels</t>
  </si>
  <si>
    <t>Grand Total</t>
  </si>
  <si>
    <t>Column Labels</t>
  </si>
  <si>
    <t>Count of Location</t>
  </si>
  <si>
    <t>expected data</t>
  </si>
  <si>
    <t>Observed data</t>
  </si>
  <si>
    <t>t-Test: Paired Two Sample for Means</t>
  </si>
  <si>
    <t>Variable 1</t>
  </si>
  <si>
    <t>Variable 2</t>
  </si>
  <si>
    <t>Mean</t>
  </si>
  <si>
    <t>Variance</t>
  </si>
  <si>
    <t>Observations</t>
  </si>
  <si>
    <t>Pearson Correlation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</si>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</sst>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0" xfId="0" applyNumberFormat="1"/>
    <xf numFmtId="0" fontId="1" fillId="2" borderId="2" xfId="0" applyFont="1" applyFill="1" applyBorder="1" applyAlignment="1">
      <alignment horizontal="left"/>
    </xf>
    <xf numFmtId="0" fontId="1" fillId="2" borderId="2" xfId="0" applyNumberFormat="1" applyFont="1" applyFill="1" applyBorder="1"/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hana" refreshedDate="46149.647790856485" createdVersion="8" refreshedVersion="8" minRefreshableVersion="3" recordCount="21" xr:uid="{AD18F169-7E33-478E-ADAD-4645131D4CAC}">
  <cacheSource type="worksheet">
    <worksheetSource name="Table1"/>
  </cacheSource>
  <cacheFields count="2">
    <cacheField name="Gender" numFmtId="0">
      <sharedItems count="2">
        <s v="M"/>
        <s v="F"/>
      </sharedItems>
    </cacheField>
    <cacheField name="Location" numFmtId="0">
      <sharedItems count="3">
        <s v="India"/>
        <s v="UK"/>
        <s v="U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</r>
  <r>
    <x v="1"/>
    <x v="1"/>
  </r>
  <r>
    <x v="1"/>
    <x v="2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1"/>
    <x v="2"/>
  </r>
  <r>
    <x v="0"/>
    <x v="2"/>
  </r>
  <r>
    <x v="1"/>
    <x v="2"/>
  </r>
  <r>
    <x v="0"/>
    <x v="1"/>
  </r>
  <r>
    <x v="0"/>
    <x v="0"/>
  </r>
  <r>
    <x v="1"/>
    <x v="2"/>
  </r>
  <r>
    <x v="1"/>
    <x v="1"/>
  </r>
  <r>
    <x v="0"/>
    <x v="0"/>
  </r>
  <r>
    <x v="0"/>
    <x v="1"/>
  </r>
  <r>
    <x v="0"/>
    <x v="2"/>
  </r>
  <r>
    <x v="1"/>
    <x v="1"/>
  </r>
  <r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9C35AD-71F4-40CC-8AEF-931186504870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M7" firstHeaderRow="1" firstDataRow="2" firstDataCol="1"/>
  <pivotFields count="2">
    <pivotField axis="axisRow" showAll="0">
      <items count="3">
        <item x="1"/>
        <item x="0"/>
        <item t="default"/>
      </items>
    </pivotField>
    <pivotField axis="axisCol" dataField="1" showAll="0">
      <items count="4">
        <item x="0"/>
        <item x="1"/>
        <item x="2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Locatio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8018F1-FB73-47BA-ADD2-77DEA2DD7821}" name="Table1" displayName="Table1" ref="A1:B22" totalsRowShown="0" headerRowDxfId="0">
  <autoFilter ref="A1:B22" xr:uid="{C98018F1-FB73-47BA-ADD2-77DEA2DD7821}"/>
  <tableColumns count="2">
    <tableColumn id="1" xr3:uid="{2A30E629-436E-4E6D-B77F-26A8C0B8E0FC}" name="Gender"/>
    <tableColumn id="2" xr3:uid="{A384CBD2-6A7C-49F9-B2EE-7CDBA3C313CD}" name="Loc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08932-C5BE-4EBE-ACBA-7401552425A9}">
  <dimension ref="A1:C14"/>
  <sheetViews>
    <sheetView workbookViewId="0">
      <selection activeCell="D12" sqref="D12"/>
    </sheetView>
  </sheetViews>
  <sheetFormatPr defaultRowHeight="13.8"/>
  <cols>
    <col min="1" max="1" width="23.796875" customWidth="1"/>
    <col min="2" max="2" width="12.8984375" customWidth="1"/>
    <col min="3" max="3" width="15.09765625" customWidth="1"/>
  </cols>
  <sheetData>
    <row r="1" spans="1:3">
      <c r="A1" t="s">
        <v>37</v>
      </c>
    </row>
    <row r="2" spans="1:3" ht="14.4" thickBot="1"/>
    <row r="3" spans="1:3" ht="14.4">
      <c r="A3" s="10"/>
      <c r="B3" s="10" t="s">
        <v>38</v>
      </c>
      <c r="C3" s="10" t="s">
        <v>39</v>
      </c>
    </row>
    <row r="4" spans="1:3">
      <c r="A4" s="8" t="s">
        <v>40</v>
      </c>
      <c r="B4" s="8">
        <v>73.25</v>
      </c>
      <c r="C4" s="8">
        <v>138.13567085020185</v>
      </c>
    </row>
    <row r="5" spans="1:3">
      <c r="A5" s="8" t="s">
        <v>41</v>
      </c>
      <c r="B5" s="8">
        <v>153.92857142857142</v>
      </c>
      <c r="C5" s="8">
        <v>34318.433954798136</v>
      </c>
    </row>
    <row r="6" spans="1:3">
      <c r="A6" s="8" t="s">
        <v>42</v>
      </c>
      <c r="B6" s="8">
        <v>8</v>
      </c>
      <c r="C6" s="8">
        <v>8</v>
      </c>
    </row>
    <row r="7" spans="1:3">
      <c r="A7" s="8" t="s">
        <v>43</v>
      </c>
      <c r="B7" s="8">
        <v>3.7254696705193699E-2</v>
      </c>
      <c r="C7" s="8"/>
    </row>
    <row r="8" spans="1:3">
      <c r="A8" s="8" t="s">
        <v>44</v>
      </c>
      <c r="B8" s="8">
        <v>0</v>
      </c>
      <c r="C8" s="8"/>
    </row>
    <row r="9" spans="1:3">
      <c r="A9" s="8" t="s">
        <v>45</v>
      </c>
      <c r="B9" s="8">
        <v>7</v>
      </c>
      <c r="C9" s="8"/>
    </row>
    <row r="10" spans="1:3">
      <c r="A10" s="8" t="s">
        <v>46</v>
      </c>
      <c r="B10" s="8">
        <v>-0.99092252132153014</v>
      </c>
      <c r="C10" s="8"/>
    </row>
    <row r="11" spans="1:3">
      <c r="A11" s="8" t="s">
        <v>47</v>
      </c>
      <c r="B11" s="8">
        <v>0.17736619547698909</v>
      </c>
      <c r="C11" s="8"/>
    </row>
    <row r="12" spans="1:3">
      <c r="A12" s="8" t="s">
        <v>48</v>
      </c>
      <c r="B12" s="8">
        <v>1.8945786050900073</v>
      </c>
      <c r="C12" s="8"/>
    </row>
    <row r="13" spans="1:3">
      <c r="A13" s="8" t="s">
        <v>49</v>
      </c>
      <c r="B13" s="8">
        <v>0.35473239095397818</v>
      </c>
      <c r="C13" s="8"/>
    </row>
    <row r="14" spans="1:3" ht="14.4" thickBot="1">
      <c r="A14" s="9" t="s">
        <v>50</v>
      </c>
      <c r="B14" s="9">
        <v>2.3646242515927849</v>
      </c>
      <c r="C1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D150-CFA6-4629-88FF-EE1FFE000BD3}">
  <dimension ref="A1:E12"/>
  <sheetViews>
    <sheetView workbookViewId="0">
      <selection activeCell="E13" sqref="E13"/>
    </sheetView>
  </sheetViews>
  <sheetFormatPr defaultRowHeight="13.8"/>
  <cols>
    <col min="3" max="3" width="11.19921875" customWidth="1"/>
    <col min="4" max="4" width="13.5" customWidth="1"/>
  </cols>
  <sheetData>
    <row r="1" spans="1:5">
      <c r="A1" t="s">
        <v>0</v>
      </c>
      <c r="B1" t="s">
        <v>1</v>
      </c>
      <c r="C1" t="s">
        <v>2</v>
      </c>
    </row>
    <row r="2" spans="1:5">
      <c r="A2" t="s">
        <v>3</v>
      </c>
      <c r="B2" t="s">
        <v>11</v>
      </c>
      <c r="C2">
        <v>87</v>
      </c>
      <c r="D2" t="s">
        <v>12</v>
      </c>
      <c r="E2">
        <f>AVERAGE(C2:C9)</f>
        <v>73.25</v>
      </c>
    </row>
    <row r="3" spans="1:5">
      <c r="A3" t="s">
        <v>4</v>
      </c>
      <c r="B3" t="s">
        <v>11</v>
      </c>
      <c r="C3">
        <v>57</v>
      </c>
      <c r="D3" t="s">
        <v>13</v>
      </c>
      <c r="E3">
        <f>MEDIAN(C2:C9)</f>
        <v>76.5</v>
      </c>
    </row>
    <row r="4" spans="1:5">
      <c r="A4" t="s">
        <v>5</v>
      </c>
      <c r="B4" t="s">
        <v>11</v>
      </c>
      <c r="C4">
        <v>65</v>
      </c>
      <c r="D4" t="s">
        <v>14</v>
      </c>
      <c r="E4">
        <f>MODE(C2:C9)</f>
        <v>57</v>
      </c>
    </row>
    <row r="5" spans="1:5">
      <c r="A5" t="s">
        <v>6</v>
      </c>
      <c r="B5" t="s">
        <v>11</v>
      </c>
      <c r="C5">
        <v>78</v>
      </c>
      <c r="D5" t="s">
        <v>15</v>
      </c>
      <c r="E5">
        <f>VAR(C2:C9)</f>
        <v>153.92857142857142</v>
      </c>
    </row>
    <row r="6" spans="1:5">
      <c r="A6" t="s">
        <v>7</v>
      </c>
      <c r="B6" t="s">
        <v>11</v>
      </c>
      <c r="C6">
        <v>89</v>
      </c>
      <c r="D6" t="s">
        <v>16</v>
      </c>
      <c r="E6">
        <f>STDEV(C2:C9)</f>
        <v>12.406795373043412</v>
      </c>
    </row>
    <row r="7" spans="1:5">
      <c r="A7" t="s">
        <v>8</v>
      </c>
      <c r="B7" t="s">
        <v>11</v>
      </c>
      <c r="C7">
        <v>57</v>
      </c>
      <c r="D7" t="s">
        <v>17</v>
      </c>
      <c r="E7">
        <f>MAX(C2:C9)</f>
        <v>89</v>
      </c>
    </row>
    <row r="8" spans="1:5">
      <c r="A8" t="s">
        <v>9</v>
      </c>
      <c r="B8" t="s">
        <v>11</v>
      </c>
      <c r="C8">
        <v>77</v>
      </c>
      <c r="D8" t="s">
        <v>18</v>
      </c>
      <c r="E8">
        <f>MIN(C2:C9)</f>
        <v>57</v>
      </c>
    </row>
    <row r="9" spans="1:5">
      <c r="A9" t="s">
        <v>10</v>
      </c>
      <c r="B9" t="s">
        <v>11</v>
      </c>
      <c r="C9">
        <v>76</v>
      </c>
      <c r="D9" t="s">
        <v>19</v>
      </c>
      <c r="E9">
        <f>SUM(C2:C9)</f>
        <v>586</v>
      </c>
    </row>
    <row r="10" spans="1:5">
      <c r="D10" t="s">
        <v>20</v>
      </c>
      <c r="E10">
        <f>COUNT(C2:C9)</f>
        <v>8</v>
      </c>
    </row>
    <row r="11" spans="1:5">
      <c r="D11" t="s">
        <v>21</v>
      </c>
      <c r="E11">
        <f>COUNTA(A2:A9)</f>
        <v>8</v>
      </c>
    </row>
    <row r="12" spans="1:5">
      <c r="E12">
        <f>_xlfn.VAR.P(C2:C9)</f>
        <v>134.6875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D9EBC-2D97-43D3-A051-232848A47E01}">
  <dimension ref="A1:M38"/>
  <sheetViews>
    <sheetView tabSelected="1" workbookViewId="0">
      <selection activeCell="M12" sqref="M12:M13"/>
    </sheetView>
  </sheetViews>
  <sheetFormatPr defaultRowHeight="13.8"/>
  <cols>
    <col min="1" max="1" width="9.09765625" customWidth="1"/>
    <col min="2" max="2" width="10.09765625" customWidth="1"/>
    <col min="8" max="8" width="11.19921875" bestFit="1" customWidth="1"/>
    <col min="9" max="9" width="16.3984375" bestFit="1" customWidth="1"/>
    <col min="10" max="10" width="16.09765625" bestFit="1" customWidth="1"/>
    <col min="11" max="11" width="3.5" bestFit="1" customWidth="1"/>
    <col min="12" max="12" width="3.3984375" bestFit="1" customWidth="1"/>
    <col min="13" max="13" width="11" bestFit="1" customWidth="1"/>
  </cols>
  <sheetData>
    <row r="1" spans="1:13">
      <c r="A1" s="1" t="s">
        <v>22</v>
      </c>
      <c r="B1" s="1" t="s">
        <v>23</v>
      </c>
    </row>
    <row r="2" spans="1:13">
      <c r="A2" t="s">
        <v>24</v>
      </c>
      <c r="B2" t="s">
        <v>25</v>
      </c>
    </row>
    <row r="3" spans="1:13">
      <c r="A3" t="s">
        <v>26</v>
      </c>
      <c r="B3" t="s">
        <v>27</v>
      </c>
      <c r="I3" s="2" t="s">
        <v>34</v>
      </c>
      <c r="J3" s="2" t="s">
        <v>33</v>
      </c>
    </row>
    <row r="4" spans="1:13">
      <c r="A4" t="s">
        <v>26</v>
      </c>
      <c r="B4" t="s">
        <v>28</v>
      </c>
      <c r="I4" s="2" t="s">
        <v>31</v>
      </c>
      <c r="J4" t="s">
        <v>25</v>
      </c>
      <c r="K4" t="s">
        <v>27</v>
      </c>
      <c r="L4" t="s">
        <v>28</v>
      </c>
      <c r="M4" t="s">
        <v>32</v>
      </c>
    </row>
    <row r="5" spans="1:13">
      <c r="A5" t="s">
        <v>24</v>
      </c>
      <c r="B5" t="s">
        <v>29</v>
      </c>
      <c r="I5" s="3" t="s">
        <v>26</v>
      </c>
      <c r="J5" s="5">
        <v>2</v>
      </c>
      <c r="K5" s="5">
        <v>4</v>
      </c>
      <c r="L5" s="5">
        <v>4</v>
      </c>
      <c r="M5" s="5">
        <v>10</v>
      </c>
    </row>
    <row r="6" spans="1:13">
      <c r="A6" t="s">
        <v>26</v>
      </c>
      <c r="B6" t="s">
        <v>29</v>
      </c>
      <c r="I6" s="3" t="s">
        <v>24</v>
      </c>
      <c r="J6" s="5">
        <v>5</v>
      </c>
      <c r="K6" s="5">
        <v>4</v>
      </c>
      <c r="L6" s="5">
        <v>2</v>
      </c>
      <c r="M6" s="5">
        <v>11</v>
      </c>
    </row>
    <row r="7" spans="1:13">
      <c r="A7" t="s">
        <v>26</v>
      </c>
      <c r="B7" t="s">
        <v>29</v>
      </c>
      <c r="I7" s="3" t="s">
        <v>32</v>
      </c>
      <c r="J7" s="5">
        <v>7</v>
      </c>
      <c r="K7" s="5">
        <v>8</v>
      </c>
      <c r="L7" s="5">
        <v>6</v>
      </c>
      <c r="M7" s="5">
        <v>21</v>
      </c>
    </row>
    <row r="8" spans="1:13">
      <c r="A8" t="s">
        <v>24</v>
      </c>
      <c r="B8" t="s">
        <v>30</v>
      </c>
    </row>
    <row r="9" spans="1:13">
      <c r="A9" t="s">
        <v>26</v>
      </c>
      <c r="B9" t="s">
        <v>30</v>
      </c>
    </row>
    <row r="10" spans="1:13">
      <c r="A10" t="s">
        <v>24</v>
      </c>
      <c r="B10" t="s">
        <v>30</v>
      </c>
    </row>
    <row r="11" spans="1:13">
      <c r="A11" t="s">
        <v>26</v>
      </c>
      <c r="B11" t="s">
        <v>28</v>
      </c>
    </row>
    <row r="12" spans="1:13">
      <c r="A12" t="s">
        <v>24</v>
      </c>
      <c r="B12" t="s">
        <v>28</v>
      </c>
    </row>
    <row r="13" spans="1:13">
      <c r="A13" t="s">
        <v>26</v>
      </c>
      <c r="B13" t="s">
        <v>28</v>
      </c>
    </row>
    <row r="14" spans="1:13">
      <c r="A14" t="s">
        <v>24</v>
      </c>
      <c r="B14" t="s">
        <v>27</v>
      </c>
    </row>
    <row r="15" spans="1:13">
      <c r="A15" t="s">
        <v>24</v>
      </c>
      <c r="B15" t="s">
        <v>29</v>
      </c>
    </row>
    <row r="16" spans="1:13">
      <c r="A16" t="s">
        <v>26</v>
      </c>
      <c r="B16" t="s">
        <v>28</v>
      </c>
    </row>
    <row r="17" spans="1:5">
      <c r="A17" t="s">
        <v>26</v>
      </c>
      <c r="B17" t="s">
        <v>27</v>
      </c>
    </row>
    <row r="18" spans="1:5">
      <c r="A18" t="s">
        <v>24</v>
      </c>
      <c r="B18" t="s">
        <v>29</v>
      </c>
    </row>
    <row r="19" spans="1:5">
      <c r="A19" t="s">
        <v>24</v>
      </c>
      <c r="B19" t="s">
        <v>27</v>
      </c>
    </row>
    <row r="20" spans="1:5">
      <c r="A20" t="s">
        <v>24</v>
      </c>
      <c r="B20" t="s">
        <v>28</v>
      </c>
    </row>
    <row r="21" spans="1:5">
      <c r="A21" t="s">
        <v>26</v>
      </c>
      <c r="B21" t="s">
        <v>27</v>
      </c>
    </row>
    <row r="22" spans="1:5">
      <c r="A22" t="s">
        <v>24</v>
      </c>
      <c r="B22" t="s">
        <v>29</v>
      </c>
    </row>
    <row r="24" spans="1:5">
      <c r="A24" t="s">
        <v>36</v>
      </c>
    </row>
    <row r="25" spans="1:5">
      <c r="A25" s="4" t="s">
        <v>31</v>
      </c>
      <c r="B25" s="4" t="s">
        <v>25</v>
      </c>
      <c r="C25" s="4" t="s">
        <v>27</v>
      </c>
      <c r="D25" s="4" t="s">
        <v>28</v>
      </c>
      <c r="E25" s="4" t="s">
        <v>32</v>
      </c>
    </row>
    <row r="26" spans="1:5">
      <c r="A26" s="3" t="s">
        <v>26</v>
      </c>
      <c r="B26" s="5">
        <v>2</v>
      </c>
      <c r="C26" s="5">
        <v>4</v>
      </c>
      <c r="D26" s="5">
        <v>4</v>
      </c>
      <c r="E26" s="5">
        <v>10</v>
      </c>
    </row>
    <row r="27" spans="1:5">
      <c r="A27" s="3" t="s">
        <v>24</v>
      </c>
      <c r="B27" s="5">
        <v>5</v>
      </c>
      <c r="C27" s="5">
        <v>4</v>
      </c>
      <c r="D27" s="5">
        <v>2</v>
      </c>
      <c r="E27" s="5">
        <v>11</v>
      </c>
    </row>
    <row r="28" spans="1:5">
      <c r="A28" s="6" t="s">
        <v>32</v>
      </c>
      <c r="B28" s="7">
        <v>7</v>
      </c>
      <c r="C28" s="7">
        <v>8</v>
      </c>
      <c r="D28" s="7">
        <v>6</v>
      </c>
      <c r="E28" s="7">
        <v>21</v>
      </c>
    </row>
    <row r="30" spans="1:5">
      <c r="A30" t="s">
        <v>35</v>
      </c>
    </row>
    <row r="31" spans="1:5">
      <c r="A31" s="4" t="s">
        <v>31</v>
      </c>
      <c r="B31" s="4" t="s">
        <v>25</v>
      </c>
      <c r="C31" s="4" t="s">
        <v>27</v>
      </c>
      <c r="D31" s="4" t="s">
        <v>28</v>
      </c>
      <c r="E31" s="4" t="s">
        <v>32</v>
      </c>
    </row>
    <row r="32" spans="1:5">
      <c r="A32" s="3" t="s">
        <v>26</v>
      </c>
      <c r="B32">
        <f>(E26*B28/E28)</f>
        <v>3.3333333333333335</v>
      </c>
      <c r="C32">
        <f>(C26*C28/E28)</f>
        <v>1.5238095238095237</v>
      </c>
      <c r="D32">
        <f>(D26*D28/E28)</f>
        <v>1.1428571428571428</v>
      </c>
      <c r="E32">
        <f>SUM(B32:D32)</f>
        <v>6</v>
      </c>
    </row>
    <row r="33" spans="1:8">
      <c r="A33" s="3" t="s">
        <v>24</v>
      </c>
      <c r="B33">
        <f>(B27*B28/E28)</f>
        <v>1.6666666666666667</v>
      </c>
      <c r="C33">
        <f>(C27*C28/E28)</f>
        <v>1.5238095238095237</v>
      </c>
      <c r="D33">
        <f>(D27*D28/E28)</f>
        <v>0.5714285714285714</v>
      </c>
      <c r="E33">
        <f>SUM(B33:D33)</f>
        <v>3.7619047619047619</v>
      </c>
    </row>
    <row r="35" spans="1:8">
      <c r="A35" s="4" t="s">
        <v>31</v>
      </c>
      <c r="B35" s="4" t="s">
        <v>25</v>
      </c>
      <c r="C35" s="4" t="s">
        <v>27</v>
      </c>
      <c r="D35" s="4" t="s">
        <v>28</v>
      </c>
      <c r="E35" s="4" t="s">
        <v>32</v>
      </c>
    </row>
    <row r="36" spans="1:8">
      <c r="A36" s="3" t="s">
        <v>26</v>
      </c>
      <c r="B36">
        <f>(B26-B32)^2/B32</f>
        <v>0.53333333333333344</v>
      </c>
      <c r="C36">
        <f>(C26-C32)^2/C32</f>
        <v>4.0238095238095246</v>
      </c>
      <c r="D36">
        <f>(D26-D32)^2/D32</f>
        <v>7.1428571428571432</v>
      </c>
      <c r="E36">
        <f>SUM(B36:D36)</f>
        <v>11.700000000000001</v>
      </c>
    </row>
    <row r="37" spans="1:8">
      <c r="A37" s="3" t="s">
        <v>24</v>
      </c>
      <c r="B37">
        <f>(B27-B33)^2/B33</f>
        <v>6.6666666666666652</v>
      </c>
      <c r="C37">
        <f>(C27-C33)^2/C33</f>
        <v>4.0238095238095246</v>
      </c>
      <c r="D37">
        <f>(D27-D33)^2/D33</f>
        <v>3.5714285714285716</v>
      </c>
      <c r="E37">
        <f>SUM(B37:D37)</f>
        <v>14.261904761904761</v>
      </c>
      <c r="F37">
        <f>SUM(B36:D37)</f>
        <v>25.961904761904766</v>
      </c>
    </row>
    <row r="38" spans="1:8">
      <c r="H38">
        <f>_xlfn.CHISQ.DIST.RT(F37,2)</f>
        <v>2.3037959533825916E-6</v>
      </c>
    </row>
  </sheetData>
  <pageMargins left="0.7" right="0.7" top="0.75" bottom="0.75" header="0.3" footer="0.3"/>
  <pageSetup orientation="portrait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sudhakar</dc:creator>
  <cp:lastModifiedBy>sahana sudhakar</cp:lastModifiedBy>
  <dcterms:created xsi:type="dcterms:W3CDTF">2026-05-05T10:12:59Z</dcterms:created>
  <dcterms:modified xsi:type="dcterms:W3CDTF">2026-05-07T10:50:23Z</dcterms:modified>
</cp:coreProperties>
</file>